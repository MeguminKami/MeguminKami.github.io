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oaoc\Desktop\"/>
    </mc:Choice>
  </mc:AlternateContent>
  <xr:revisionPtr revIDLastSave="0" documentId="13_ncr:1_{4C07ECF0-C594-4CD4-BAC8-9E1DF643F04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Process St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</calcChain>
</file>

<file path=xl/sharedStrings.xml><?xml version="1.0" encoding="utf-8"?>
<sst xmlns="http://schemas.openxmlformats.org/spreadsheetml/2006/main" count="41" uniqueCount="41">
  <si>
    <t>Simulation Summary</t>
  </si>
  <si>
    <t>Simulation Time (hours)</t>
  </si>
  <si>
    <t>25.00</t>
  </si>
  <si>
    <t>Total Pieces</t>
  </si>
  <si>
    <t>Completed Pieces</t>
  </si>
  <si>
    <t>Overall Throughput (pcs/h)</t>
  </si>
  <si>
    <t>158.48</t>
  </si>
  <si>
    <t>Average Cycle Time (s)</t>
  </si>
  <si>
    <t>327.68</t>
  </si>
  <si>
    <t>Financial Results</t>
  </si>
  <si>
    <t>Revenue (€)</t>
  </si>
  <si>
    <t>34073.20</t>
  </si>
  <si>
    <t>Operator Costs (€)</t>
  </si>
  <si>
    <t>1025.00</t>
  </si>
  <si>
    <t>Implementation Cost (€)</t>
  </si>
  <si>
    <t>0.00</t>
  </si>
  <si>
    <t>Profit (€)</t>
  </si>
  <si>
    <t>33048.20</t>
  </si>
  <si>
    <t>Node</t>
  </si>
  <si>
    <t>Avg Time (s)</t>
  </si>
  <si>
    <t>Min Time (s)</t>
  </si>
  <si>
    <t>Max Time (s)</t>
  </si>
  <si>
    <t>Throughput (pcs/h)</t>
  </si>
  <si>
    <t>Utilization (%)</t>
  </si>
  <si>
    <t>PCB</t>
  </si>
  <si>
    <t>Stick a Label L05C</t>
  </si>
  <si>
    <t>Assemble Components Machine L05C</t>
  </si>
  <si>
    <t>Assemble Machine Input Conveyor L05C</t>
  </si>
  <si>
    <t>Assemble Machine Output Buffer L05C</t>
  </si>
  <si>
    <t>Assemble Machine Output Conveyor L05C</t>
  </si>
  <si>
    <t>Soldering L05C</t>
  </si>
  <si>
    <t>Middle Buffer L05C</t>
  </si>
  <si>
    <t>Sensivity Test L05C</t>
  </si>
  <si>
    <t>Manual Weld L05C</t>
  </si>
  <si>
    <t>Standby Test L05C</t>
  </si>
  <si>
    <t>Rotate Switchs L05C</t>
  </si>
  <si>
    <t>Encasing L05C</t>
  </si>
  <si>
    <t>Workstation Buffer L05C</t>
  </si>
  <si>
    <t>Final Test L05C</t>
  </si>
  <si>
    <t>Final Test Input Conveyor L05C</t>
  </si>
  <si>
    <t>Final Test Output Buffer L05C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</si>
</sst>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>
        <v>3962</v>
      </c>
    </row>
    <row r="4" spans="1:2" x14ac:dyDescent="0.25">
      <c r="A4" t="s">
        <v>4</v>
      </c>
      <c r="B4">
        <v>3962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8" spans="1:2" x14ac:dyDescent="0.25">
      <c r="A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selection activeCell="B19" sqref="B19"/>
    </sheetView>
  </sheetViews>
  <sheetFormatPr defaultRowHeight="15" x14ac:dyDescent="0.25"/>
  <cols>
    <col min="1" max="1" width="45.7109375" customWidth="1"/>
    <col min="2" max="2" width="18.42578125" customWidth="1"/>
    <col min="3" max="3" width="13" customWidth="1"/>
    <col min="4" max="4" width="15" customWidth="1"/>
    <col min="5" max="5" width="18.42578125" customWidth="1"/>
    <col min="6" max="6" width="16.7109375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 t="s">
        <v>24</v>
      </c>
      <c r="B2">
        <v>22.73</v>
      </c>
      <c r="C2">
        <v>0</v>
      </c>
      <c r="D2">
        <v>27.1</v>
      </c>
      <c r="E2">
        <v>158.4</v>
      </c>
      <c r="F2">
        <v>7.75</v>
      </c>
    </row>
    <row r="3" spans="1:6" x14ac:dyDescent="0.25">
      <c r="A3" t="s">
        <v>25</v>
      </c>
      <c r="B3">
        <v>22.72</v>
      </c>
      <c r="C3">
        <v>7.4</v>
      </c>
      <c r="D3">
        <v>27.1</v>
      </c>
      <c r="E3">
        <v>158.36000000000001</v>
      </c>
      <c r="F3">
        <v>7.75</v>
      </c>
    </row>
    <row r="4" spans="1:6" x14ac:dyDescent="0.25">
      <c r="A4" t="s">
        <v>26</v>
      </c>
      <c r="B4">
        <v>22.67</v>
      </c>
      <c r="C4">
        <v>19.7</v>
      </c>
      <c r="D4">
        <v>27.2</v>
      </c>
      <c r="E4">
        <v>158.12</v>
      </c>
      <c r="F4">
        <v>7.73</v>
      </c>
    </row>
    <row r="5" spans="1:6" x14ac:dyDescent="0.25">
      <c r="A5" t="s">
        <v>27</v>
      </c>
      <c r="B5">
        <v>18.559999999999999</v>
      </c>
      <c r="C5">
        <v>0</v>
      </c>
      <c r="D5">
        <v>22.9</v>
      </c>
      <c r="E5">
        <v>158.16</v>
      </c>
      <c r="F5">
        <v>6.33</v>
      </c>
    </row>
    <row r="6" spans="1:6" x14ac:dyDescent="0.25">
      <c r="A6" t="s">
        <v>28</v>
      </c>
      <c r="B6">
        <v>109.77</v>
      </c>
      <c r="C6">
        <v>3.3</v>
      </c>
      <c r="D6">
        <v>125</v>
      </c>
      <c r="E6">
        <v>157.88</v>
      </c>
      <c r="F6">
        <v>37.43</v>
      </c>
    </row>
    <row r="7" spans="1:6" x14ac:dyDescent="0.25">
      <c r="A7" t="s">
        <v>29</v>
      </c>
      <c r="B7">
        <v>21.24</v>
      </c>
      <c r="C7">
        <v>0</v>
      </c>
      <c r="D7">
        <v>26.3</v>
      </c>
      <c r="E7">
        <v>158.08000000000001</v>
      </c>
      <c r="F7">
        <v>7.24</v>
      </c>
    </row>
    <row r="8" spans="1:6" x14ac:dyDescent="0.25">
      <c r="A8" t="s">
        <v>30</v>
      </c>
      <c r="B8">
        <v>18.64</v>
      </c>
      <c r="C8">
        <v>15.7</v>
      </c>
      <c r="D8">
        <v>28.7</v>
      </c>
      <c r="E8">
        <v>157.84</v>
      </c>
      <c r="F8">
        <v>6.36</v>
      </c>
    </row>
    <row r="9" spans="1:6" x14ac:dyDescent="0.25">
      <c r="A9" t="s">
        <v>31</v>
      </c>
      <c r="B9">
        <v>2.57</v>
      </c>
      <c r="C9">
        <v>1.4</v>
      </c>
      <c r="D9">
        <v>11.1</v>
      </c>
      <c r="E9">
        <v>157.84</v>
      </c>
      <c r="F9">
        <v>0.87</v>
      </c>
    </row>
    <row r="10" spans="1:6" x14ac:dyDescent="0.25">
      <c r="A10" t="s">
        <v>32</v>
      </c>
      <c r="B10">
        <v>10.52</v>
      </c>
      <c r="C10">
        <v>7.1</v>
      </c>
      <c r="D10">
        <v>14</v>
      </c>
      <c r="E10">
        <v>157.84</v>
      </c>
      <c r="F10">
        <v>3.59</v>
      </c>
    </row>
    <row r="11" spans="1:6" x14ac:dyDescent="0.25">
      <c r="A11" t="s">
        <v>33</v>
      </c>
      <c r="B11">
        <v>5.8</v>
      </c>
      <c r="C11">
        <v>3.8</v>
      </c>
      <c r="D11">
        <v>8.6</v>
      </c>
      <c r="E11">
        <v>157.80000000000001</v>
      </c>
      <c r="F11">
        <v>1.98</v>
      </c>
    </row>
    <row r="12" spans="1:6" x14ac:dyDescent="0.25">
      <c r="A12" t="s">
        <v>34</v>
      </c>
      <c r="B12">
        <v>8.34</v>
      </c>
      <c r="C12">
        <v>7.3</v>
      </c>
      <c r="D12">
        <v>11.3</v>
      </c>
      <c r="E12">
        <v>157.80000000000001</v>
      </c>
      <c r="F12">
        <v>2.84</v>
      </c>
    </row>
    <row r="13" spans="1:6" x14ac:dyDescent="0.25">
      <c r="A13" t="s">
        <v>35</v>
      </c>
      <c r="B13">
        <v>2.35</v>
      </c>
      <c r="C13">
        <v>1</v>
      </c>
      <c r="D13">
        <v>5.5</v>
      </c>
      <c r="E13">
        <v>157.80000000000001</v>
      </c>
      <c r="F13">
        <v>0.8</v>
      </c>
    </row>
    <row r="14" spans="1:6" x14ac:dyDescent="0.25">
      <c r="A14" t="s">
        <v>36</v>
      </c>
      <c r="B14">
        <v>3.44</v>
      </c>
      <c r="C14">
        <v>1.7</v>
      </c>
      <c r="D14">
        <v>6.8</v>
      </c>
      <c r="E14">
        <v>157.80000000000001</v>
      </c>
      <c r="F14">
        <v>1.17</v>
      </c>
    </row>
    <row r="15" spans="1:6" x14ac:dyDescent="0.25">
      <c r="A15" t="s">
        <v>37</v>
      </c>
      <c r="B15">
        <v>6.44</v>
      </c>
      <c r="C15">
        <v>1.4</v>
      </c>
      <c r="D15">
        <v>16.100000000000001</v>
      </c>
      <c r="E15">
        <v>157.80000000000001</v>
      </c>
      <c r="F15">
        <v>2.19</v>
      </c>
    </row>
    <row r="16" spans="1:6" x14ac:dyDescent="0.25">
      <c r="A16" t="s">
        <v>38</v>
      </c>
      <c r="B16">
        <v>16.11</v>
      </c>
      <c r="C16">
        <v>15.6</v>
      </c>
      <c r="D16">
        <v>18.5</v>
      </c>
      <c r="E16">
        <v>157.72</v>
      </c>
      <c r="F16">
        <v>5.49</v>
      </c>
    </row>
    <row r="17" spans="1:6" x14ac:dyDescent="0.25">
      <c r="A17" t="s">
        <v>39</v>
      </c>
      <c r="B17">
        <v>1.37</v>
      </c>
      <c r="C17">
        <v>0</v>
      </c>
      <c r="D17">
        <v>13.6</v>
      </c>
      <c r="E17">
        <v>157.76</v>
      </c>
      <c r="F17">
        <v>0.47</v>
      </c>
    </row>
    <row r="18" spans="1:6" x14ac:dyDescent="0.25">
      <c r="A18" t="s">
        <v>40</v>
      </c>
      <c r="B18">
        <v>0.02</v>
      </c>
      <c r="C18">
        <v>0</v>
      </c>
      <c r="D18">
        <v>2.8</v>
      </c>
      <c r="E18">
        <v>157.72</v>
      </c>
      <c r="F18">
        <v>0.01</v>
      </c>
    </row>
    <row r="19" spans="1:6" x14ac:dyDescent="0.25">
      <c r="B19">
        <f>SUM(B2:B18)</f>
        <v>293.29000000000002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Process 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Caldas Ferreira</cp:lastModifiedBy>
  <dcterms:created xsi:type="dcterms:W3CDTF">2025-07-31T17:55:34Z</dcterms:created>
  <dcterms:modified xsi:type="dcterms:W3CDTF">2025-07-31T20:39:05Z</dcterms:modified>
</cp:coreProperties>
</file>